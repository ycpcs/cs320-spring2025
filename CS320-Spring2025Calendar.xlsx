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1F25D98C-6C5D-4CA2-9B6D-70FB39CEC632}" xr6:coauthVersionLast="47" xr6:coauthVersionMax="47" xr10:uidLastSave="{00000000-0000-0000-0000-000000000000}"/>
  <bookViews>
    <workbookView xWindow="345" yWindow="570" windowWidth="24345" windowHeight="14730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F23" i="1"/>
  <c r="D16" i="1"/>
  <c r="F16" i="1" s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<sst xmlns="http://schemas.openxmlformats.org/spreadsheetml/2006/main" count="88" uniqueCount="83">
  <si>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</si>
  <si>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</si>
  <si>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</si>
  <si>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</si>
  <si>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</si>
  <si>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</si>
  <si>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</si>
  <si>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</si>
  <si>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</si>
  <si>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</si>
  <si>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</si>
  <si>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</si>
  <si>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</si>
  <si>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</si>
  <si>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</si>
  <si>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</si>
  <si>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</si>
  <si>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</si>
  <si>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</si>
  <si>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</si>
  <si>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</si>
  <si>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</si>
  <si>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</si>
  <si>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</si>
  <si>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</si>
  <si>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</si>
  <si>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</si>
  <si>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</si>
  <si>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</si>
  <si>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</si>
  <si>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</si>
  <si>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</si>
  <si>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</si>
  <si>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</si>
  <si>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</si>
  <si>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</si>
  <si>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</si>
  <si>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t>Lecture 6:
SW Development Processes
(UD: Chapter 2
Lecture 7:
Agile Process
(Scrum Guide)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</si>
  <si>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</si>
  <si>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</si>
  <si>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</si>
  <si>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</si>
  <si>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</si>
  <si>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Assign06: Team Problem Domain Analysis Submission Review</t>
  </si>
  <si>
    <t>A03: Team MS2
50% Progress on Features w/fake data</t>
  </si>
  <si>
    <t>Lecture 16: Testing
Lecture 17: Quality Assurance</t>
  </si>
  <si>
    <t>DB Testing &amp; General Questions about Lab06</t>
  </si>
  <si>
    <t>ORM Review (Lab06)</t>
  </si>
  <si>
    <t>A10/A11: Team Project Self Reflection and 
Final Peer Evals
due Noon (Marmoset)</t>
  </si>
  <si>
    <t>A08: Team Project Report
 due Noon
(Marmoset)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</si>
  <si>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</si>
  <si>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</si>
  <si>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</si>
  <si>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</si>
  <si>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</si>
  <si>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</si>
  <si>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</si>
  <si>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</si>
  <si>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</si>
  <si>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</si>
  <si>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</si>
  <si>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</si>
  <si>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</si>
  <si>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TBD (too be determined)</t>
  </si>
  <si>
    <t>Team Session
Final Preparation for Milestone 3
(in class)</t>
  </si>
  <si>
    <t>Prep Exam
due Weds before class
-------&gt;&gt;&gt;&gt;
(Marmoset)</t>
  </si>
  <si>
    <t>Work Ethic Lecture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</si>
  <si>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</si>
  <si>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A01: Team Project Proposal due Noon
(Marmoset)</t>
  </si>
  <si>
    <t xml:space="preserve">
A09: Individual  Report 
due Weds by Noon
-----&gt;&gt;&gt;&gt;&gt;
(Marmoset)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</si>
  <si>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Noon
(Marmoset)</t>
    </r>
  </si>
  <si>
    <t>Lab 5: JDBC
due Mon by Noon
-------------&gt;&gt;&gt;&gt;
(Marmoset)</t>
  </si>
  <si>
    <t>Lab 6: ORM
due  by Noon
--------&gt;&gt;&gt;
(Marmoset)</t>
  </si>
  <si>
    <t xml:space="preserve">Lab 2a: Web Apps Lab02a due
by Noon
(after sign-off)
(Marmoset)
</t>
  </si>
  <si>
    <r>
      <t xml:space="preserve">Lecture 1: OOP &amp; ChatGPT
</t>
    </r>
    <r>
      <rPr>
        <b/>
        <sz val="9"/>
        <color rgb="FFFF0000"/>
        <rFont val="Calibri"/>
        <family val="2"/>
        <scheme val="minor"/>
      </rPr>
      <t>Lab 1: HTML/CSS Resume
 (assigned)</t>
    </r>
  </si>
  <si>
    <t>Lab 1: HTML &amp; CSS  Resume
due Weds by Noon for 25% EC
--------&gt;&gt;&gt;&gt;
(Marmoset)</t>
  </si>
  <si>
    <t>Lab 1: HTML &amp; CSS  Resume
due Fri by Noon for full credit
--------&gt;&gt;&gt;&gt;
(Marmoset)</t>
  </si>
  <si>
    <r>
      <t xml:space="preserve">Indivudual Project Intro
Lecture 2:
HTML &amp; CSS
</t>
    </r>
    <r>
      <rPr>
        <b/>
        <sz val="9"/>
        <color rgb="FFFF0000"/>
        <rFont val="Calibri"/>
        <family val="2"/>
        <scheme val="minor"/>
      </rPr>
      <t>Lab 0: ChatGPT
due by Noon
(Marmoset)</t>
    </r>
  </si>
  <si>
    <t>Team Project Introduction and  Schedule</t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</si>
  <si>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2/2a: Web Applications
(assigned)</t>
    </r>
  </si>
  <si>
    <r>
      <t xml:space="preserve">Lecture 4: Web
Applications II
Web Applications Labs Review
</t>
    </r>
    <r>
      <rPr>
        <b/>
        <sz val="9"/>
        <color rgb="FFFF0000"/>
        <rFont val="Calibri"/>
        <family val="2"/>
        <scheme val="minor"/>
      </rPr>
      <t>Lab02: Web App Introduction due
(in class)</t>
    </r>
  </si>
  <si>
    <r>
      <t xml:space="preserve">Winter
Break
</t>
    </r>
    <r>
      <rPr>
        <b/>
        <sz val="9"/>
        <color rgb="FFFF0000"/>
        <rFont val="Calibri"/>
        <family val="2"/>
        <scheme val="minor"/>
      </rPr>
      <t>Lab 2a: Web Apps Lab02a resubmissions due
by Noon
(after sign-off)
(Marmoset)</t>
    </r>
  </si>
  <si>
    <t>CS320: SW Engineering - Spring 2025 Schedule
(as of 2-26-2025, subject to change)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</si>
</sst>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textRotation="90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zoomScale="110" zoomScaleNormal="110" workbookViewId="0">
      <selection sqref="A1:I1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43" t="s">
        <v>82</v>
      </c>
      <c r="B1" s="144"/>
      <c r="C1" s="144"/>
      <c r="D1" s="144"/>
      <c r="E1" s="144"/>
      <c r="F1" s="144"/>
      <c r="G1" s="144"/>
      <c r="H1" s="144"/>
      <c r="I1" s="145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96" t="s">
        <v>4</v>
      </c>
      <c r="I2" s="1" t="s">
        <v>9</v>
      </c>
    </row>
    <row r="3" spans="1:17" ht="15.75" customHeight="1" thickTop="1" x14ac:dyDescent="0.25">
      <c r="A3" s="154">
        <v>15</v>
      </c>
      <c r="B3" s="138" t="s">
        <v>54</v>
      </c>
      <c r="C3" s="52">
        <v>26</v>
      </c>
      <c r="D3" s="42">
        <f>C3 + 1</f>
        <v>27</v>
      </c>
      <c r="E3" s="42">
        <f t="shared" ref="E3:H3" si="0">D3 + 1</f>
        <v>28</v>
      </c>
      <c r="F3" s="4">
        <f t="shared" si="0"/>
        <v>29</v>
      </c>
      <c r="G3" s="4">
        <f t="shared" si="0"/>
        <v>30</v>
      </c>
      <c r="H3" s="97">
        <f t="shared" si="0"/>
        <v>31</v>
      </c>
      <c r="I3" s="98">
        <f>IF(H3 = 31, 1, H3+1)</f>
        <v>1</v>
      </c>
    </row>
    <row r="4" spans="1:17" ht="101.25" customHeight="1" thickBot="1" x14ac:dyDescent="0.3">
      <c r="A4" s="150"/>
      <c r="B4" s="140"/>
      <c r="C4" s="99" t="s">
        <v>7</v>
      </c>
      <c r="D4" s="94" t="s">
        <v>55</v>
      </c>
      <c r="E4" s="85" t="s">
        <v>65</v>
      </c>
      <c r="F4" s="122" t="s">
        <v>57</v>
      </c>
      <c r="G4" s="32"/>
      <c r="H4" s="115" t="s">
        <v>74</v>
      </c>
      <c r="I4" s="101"/>
    </row>
    <row r="5" spans="1:17" ht="15" customHeight="1" thickTop="1" x14ac:dyDescent="0.25">
      <c r="A5" s="153">
        <f>A3 - 1</f>
        <v>14</v>
      </c>
      <c r="B5" s="141" t="s">
        <v>10</v>
      </c>
      <c r="C5" s="100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122.25" customHeight="1" x14ac:dyDescent="0.25">
      <c r="A6" s="148"/>
      <c r="B6" s="142"/>
      <c r="C6" s="123"/>
      <c r="D6" s="38" t="s">
        <v>77</v>
      </c>
      <c r="E6" s="39" t="s">
        <v>75</v>
      </c>
      <c r="F6" s="38" t="s">
        <v>78</v>
      </c>
      <c r="G6" s="39" t="s">
        <v>76</v>
      </c>
      <c r="H6" s="38" t="s">
        <v>58</v>
      </c>
      <c r="I6" s="70"/>
    </row>
    <row r="7" spans="1:17" ht="15.75" customHeight="1" x14ac:dyDescent="0.25">
      <c r="A7" s="147">
        <f>A5 - 1</f>
        <v>13</v>
      </c>
      <c r="B7" s="142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0">
        <f>H7+1</f>
        <v>15</v>
      </c>
    </row>
    <row r="8" spans="1:17" ht="123.75" customHeight="1" x14ac:dyDescent="0.25">
      <c r="A8" s="147"/>
      <c r="B8" s="142"/>
      <c r="C8" s="132" t="s">
        <v>31</v>
      </c>
      <c r="D8" s="38" t="s">
        <v>59</v>
      </c>
      <c r="E8" s="61"/>
      <c r="F8" s="11" t="s">
        <v>79</v>
      </c>
      <c r="G8" s="24"/>
      <c r="H8" s="137" t="s">
        <v>80</v>
      </c>
      <c r="I8" s="80"/>
    </row>
    <row r="9" spans="1:17" ht="15.75" customHeight="1" x14ac:dyDescent="0.25">
      <c r="A9" s="147">
        <f>A7 - 1</f>
        <v>12</v>
      </c>
      <c r="B9" s="142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4"/>
      <c r="L9" s="74"/>
      <c r="M9" s="74"/>
      <c r="N9" s="74"/>
      <c r="O9" s="74"/>
      <c r="P9" s="74"/>
      <c r="Q9" s="74"/>
    </row>
    <row r="10" spans="1:17" ht="102.75" customHeight="1" thickBot="1" x14ac:dyDescent="0.3">
      <c r="A10" s="147"/>
      <c r="B10" s="142"/>
      <c r="C10" s="71" t="s">
        <v>68</v>
      </c>
      <c r="D10" s="9" t="s">
        <v>37</v>
      </c>
      <c r="E10" s="61"/>
      <c r="F10" s="9" t="s">
        <v>60</v>
      </c>
      <c r="G10" s="10"/>
      <c r="H10" s="9" t="s">
        <v>27</v>
      </c>
      <c r="I10" s="134" t="s">
        <v>73</v>
      </c>
      <c r="K10" s="22"/>
      <c r="L10" s="74"/>
      <c r="M10" s="75"/>
      <c r="N10" s="74"/>
      <c r="O10" s="75"/>
      <c r="P10" s="74"/>
      <c r="Q10" s="75"/>
    </row>
    <row r="11" spans="1:17" ht="15" customHeight="1" thickTop="1" x14ac:dyDescent="0.25">
      <c r="A11" s="147">
        <f>A9 -1</f>
        <v>11</v>
      </c>
      <c r="B11" s="141" t="s">
        <v>56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2">
        <f t="shared" si="1"/>
        <v>28</v>
      </c>
      <c r="I11" s="108">
        <f>IF(H11 = 28,1,H11+1)</f>
        <v>1</v>
      </c>
      <c r="K11" s="74"/>
      <c r="L11" s="74"/>
      <c r="M11" s="74"/>
      <c r="N11" s="74"/>
      <c r="O11" s="74"/>
      <c r="P11" s="74"/>
      <c r="Q11" s="74"/>
    </row>
    <row r="12" spans="1:17" ht="120" customHeight="1" thickBot="1" x14ac:dyDescent="0.3">
      <c r="A12" s="148"/>
      <c r="B12" s="146"/>
      <c r="C12" s="133"/>
      <c r="D12" s="36" t="s">
        <v>41</v>
      </c>
      <c r="E12" s="124"/>
      <c r="F12" s="125" t="s">
        <v>40</v>
      </c>
      <c r="G12" s="34"/>
      <c r="H12" s="136" t="s">
        <v>21</v>
      </c>
      <c r="I12" s="109"/>
      <c r="K12" s="22"/>
      <c r="L12" s="74"/>
      <c r="M12" s="74"/>
      <c r="N12" s="74"/>
      <c r="O12" s="75"/>
      <c r="P12" s="74"/>
      <c r="Q12" s="75"/>
    </row>
    <row r="13" spans="1:17" ht="15" customHeight="1" thickTop="1" x14ac:dyDescent="0.25">
      <c r="A13" s="105">
        <f xml:space="preserve"> A11 - 1</f>
        <v>10</v>
      </c>
      <c r="B13" s="138" t="s">
        <v>11</v>
      </c>
      <c r="C13" s="106">
        <f>IF(I11=28, 1, I11+1)</f>
        <v>2</v>
      </c>
      <c r="D13" s="62">
        <f>C13 + 1</f>
        <v>3</v>
      </c>
      <c r="E13" s="42">
        <f t="shared" ref="E13:F13" si="2">D13 + 1</f>
        <v>4</v>
      </c>
      <c r="F13" s="42">
        <f t="shared" si="2"/>
        <v>5</v>
      </c>
      <c r="G13" s="53">
        <f>IF(F13 = 28, 1, F13+1)</f>
        <v>6</v>
      </c>
      <c r="H13" s="53">
        <f>IF(G13 = 28, 1, G13+1)</f>
        <v>7</v>
      </c>
      <c r="I13" s="65">
        <f t="shared" si="1"/>
        <v>8</v>
      </c>
      <c r="K13" s="74"/>
      <c r="L13" s="74"/>
      <c r="M13" s="74"/>
      <c r="N13" s="74"/>
      <c r="O13" s="74"/>
      <c r="P13" s="74"/>
      <c r="Q13" s="76"/>
    </row>
    <row r="14" spans="1:17" ht="144.75" customHeight="1" x14ac:dyDescent="0.25">
      <c r="A14" s="104"/>
      <c r="B14" s="139"/>
      <c r="C14" s="83" t="s">
        <v>38</v>
      </c>
      <c r="D14" s="81" t="s">
        <v>67</v>
      </c>
      <c r="E14" s="107"/>
      <c r="F14" s="6" t="s">
        <v>61</v>
      </c>
      <c r="G14" s="51" t="s">
        <v>28</v>
      </c>
      <c r="H14" s="38" t="s">
        <v>81</v>
      </c>
      <c r="I14" s="63" t="s">
        <v>28</v>
      </c>
      <c r="K14" s="76"/>
      <c r="L14" s="22"/>
      <c r="M14" s="77"/>
      <c r="N14" s="74"/>
      <c r="O14" s="76"/>
      <c r="P14" s="74"/>
      <c r="Q14" s="76"/>
    </row>
    <row r="15" spans="1:17" ht="15.75" customHeight="1" x14ac:dyDescent="0.25">
      <c r="A15" s="89">
        <f>A13 - 1</f>
        <v>9</v>
      </c>
      <c r="B15" s="139"/>
      <c r="C15" s="54">
        <f>I13 + 1</f>
        <v>9</v>
      </c>
      <c r="D15" s="43">
        <f t="shared" ref="D15:I15" si="3">C15 + 1</f>
        <v>10</v>
      </c>
      <c r="E15" s="81">
        <f t="shared" si="3"/>
        <v>11</v>
      </c>
      <c r="F15" s="43">
        <f t="shared" si="3"/>
        <v>12</v>
      </c>
      <c r="G15" s="103">
        <f t="shared" si="3"/>
        <v>13</v>
      </c>
      <c r="H15" s="43">
        <f t="shared" si="3"/>
        <v>14</v>
      </c>
      <c r="I15" s="66">
        <f t="shared" si="3"/>
        <v>15</v>
      </c>
    </row>
    <row r="16" spans="1:17" ht="84" customHeight="1" thickBot="1" x14ac:dyDescent="0.3">
      <c r="A16" s="90"/>
      <c r="B16" s="140"/>
      <c r="C16" s="64" t="s">
        <v>28</v>
      </c>
      <c r="D16" s="8" t="str">
        <f>F14</f>
        <v>Team Session:
Team Analysis &amp; Design Model
Team Git Set-Up</v>
      </c>
      <c r="E16" s="50" t="s">
        <v>25</v>
      </c>
      <c r="F16" s="8" t="str">
        <f>D16</f>
        <v>Team Session:
Team Analysis &amp; Design Model
Team Git Set-Up</v>
      </c>
      <c r="G16" s="126" t="s">
        <v>39</v>
      </c>
      <c r="H16" s="50" t="s">
        <v>43</v>
      </c>
      <c r="I16" s="131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6" t="s">
        <v>14</v>
      </c>
      <c r="E18" s="27" t="s">
        <v>35</v>
      </c>
      <c r="F18" s="28" t="s">
        <v>15</v>
      </c>
      <c r="G18" s="79" t="s">
        <v>36</v>
      </c>
      <c r="H18" s="29" t="s">
        <v>16</v>
      </c>
      <c r="I18" s="130" t="s">
        <v>63</v>
      </c>
    </row>
    <row r="19" spans="1:17" ht="34.5" customHeight="1" thickTop="1" thickBot="1" x14ac:dyDescent="0.3">
      <c r="B19" s="21"/>
      <c r="C19" s="30"/>
      <c r="D19" s="76"/>
      <c r="E19" s="22"/>
      <c r="F19" s="76"/>
      <c r="G19" s="22"/>
      <c r="H19" s="76"/>
      <c r="I19" s="76"/>
    </row>
    <row r="20" spans="1:17" ht="54" customHeight="1" thickTop="1" thickBot="1" x14ac:dyDescent="0.3">
      <c r="A20" s="143" t="str">
        <f>A1</f>
        <v>CS320: SW Engineering - Spring 2025 Schedule
(as of 2-26-2025, subject to change)</v>
      </c>
      <c r="B20" s="144"/>
      <c r="C20" s="144"/>
      <c r="D20" s="144"/>
      <c r="E20" s="144"/>
      <c r="F20" s="144"/>
      <c r="G20" s="144"/>
      <c r="H20" s="144"/>
      <c r="I20" s="145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7" ht="15.75" customHeight="1" thickTop="1" x14ac:dyDescent="0.25">
      <c r="A22" s="88">
        <f>A15-1</f>
        <v>8</v>
      </c>
      <c r="B22" s="138" t="s">
        <v>11</v>
      </c>
      <c r="C22" s="67">
        <f>I15 + 1</f>
        <v>16</v>
      </c>
      <c r="D22" s="16">
        <f>C22 + 1</f>
        <v>17</v>
      </c>
      <c r="E22" s="16">
        <f t="shared" ref="E22:I22" si="5">D22 + 1</f>
        <v>18</v>
      </c>
      <c r="F22" s="16">
        <f t="shared" si="5"/>
        <v>19</v>
      </c>
      <c r="G22" s="16">
        <f t="shared" si="5"/>
        <v>20</v>
      </c>
      <c r="H22" s="16">
        <f t="shared" si="5"/>
        <v>21</v>
      </c>
      <c r="I22" s="17">
        <f t="shared" si="5"/>
        <v>22</v>
      </c>
      <c r="K22" s="76"/>
      <c r="L22" s="74"/>
      <c r="M22" s="74"/>
      <c r="N22" s="74"/>
      <c r="O22" s="74"/>
      <c r="P22" s="74"/>
      <c r="Q22" s="74"/>
    </row>
    <row r="23" spans="1:17" ht="59.25" customHeight="1" x14ac:dyDescent="0.25">
      <c r="A23" s="89"/>
      <c r="B23" s="139"/>
      <c r="C23" s="86"/>
      <c r="D23" s="6" t="s">
        <v>42</v>
      </c>
      <c r="E23" s="43"/>
      <c r="F23" s="6" t="str">
        <f>D23</f>
        <v>Team Session: Final Preparation for Milestone 1
(in-class)</v>
      </c>
      <c r="G23" s="6"/>
      <c r="H23" s="19" t="s">
        <v>13</v>
      </c>
      <c r="I23" s="31"/>
      <c r="K23" s="74"/>
      <c r="L23" s="74"/>
      <c r="M23" s="74"/>
      <c r="N23" s="74"/>
      <c r="O23" s="74"/>
      <c r="P23" s="74"/>
      <c r="Q23" s="22"/>
    </row>
    <row r="24" spans="1:17" ht="15" customHeight="1" x14ac:dyDescent="0.25">
      <c r="A24" s="89">
        <f>A22 - 1</f>
        <v>7</v>
      </c>
      <c r="B24" s="139"/>
      <c r="C24" s="7">
        <f>I22 + 1</f>
        <v>23</v>
      </c>
      <c r="D24" s="16">
        <f>C24 + 1</f>
        <v>24</v>
      </c>
      <c r="E24" s="16">
        <f t="shared" ref="E24:I24" si="6">D24 + 1</f>
        <v>25</v>
      </c>
      <c r="F24" s="16">
        <f t="shared" si="6"/>
        <v>26</v>
      </c>
      <c r="G24" s="16">
        <f t="shared" si="6"/>
        <v>27</v>
      </c>
      <c r="H24" s="16">
        <f t="shared" si="6"/>
        <v>28</v>
      </c>
      <c r="I24" s="17">
        <f t="shared" si="6"/>
        <v>29</v>
      </c>
      <c r="K24" s="74"/>
      <c r="L24" s="74"/>
      <c r="M24" s="74"/>
      <c r="N24" s="74"/>
      <c r="O24" s="74"/>
      <c r="P24" s="74"/>
      <c r="Q24" s="74"/>
    </row>
    <row r="25" spans="1:17" ht="129.75" customHeight="1" thickBot="1" x14ac:dyDescent="0.3">
      <c r="A25" s="89"/>
      <c r="B25" s="139"/>
      <c r="C25" s="73"/>
      <c r="D25" s="23" t="s">
        <v>22</v>
      </c>
      <c r="E25" s="111"/>
      <c r="F25" s="94" t="s">
        <v>32</v>
      </c>
      <c r="G25" s="111"/>
      <c r="H25" s="87" t="s">
        <v>70</v>
      </c>
      <c r="I25" s="84"/>
      <c r="K25" s="22"/>
      <c r="L25" s="74"/>
      <c r="M25" s="76"/>
      <c r="N25" s="74"/>
      <c r="O25" s="76"/>
      <c r="P25" s="74"/>
      <c r="Q25" s="22"/>
    </row>
    <row r="26" spans="1:17" ht="15" customHeight="1" thickTop="1" x14ac:dyDescent="0.25">
      <c r="A26" s="149">
        <f>A24 - 1</f>
        <v>6</v>
      </c>
      <c r="B26" s="92"/>
      <c r="C26" s="7">
        <f>I24 + 1</f>
        <v>30</v>
      </c>
      <c r="D26" s="110">
        <f>C26 + 1</f>
        <v>31</v>
      </c>
      <c r="E26" s="100">
        <f>IF(D26 = 31, 1, D36+1)</f>
        <v>1</v>
      </c>
      <c r="F26" s="33">
        <f>E26+1</f>
        <v>2</v>
      </c>
      <c r="G26" s="33">
        <f t="shared" ref="E26:G28" si="7">F26 + 1</f>
        <v>3</v>
      </c>
      <c r="H26" s="33">
        <f t="shared" ref="H26" si="8">G26 + 1</f>
        <v>4</v>
      </c>
      <c r="I26" s="95">
        <f t="shared" ref="I26" si="9">H26 + 1</f>
        <v>5</v>
      </c>
      <c r="K26" s="74"/>
      <c r="L26" s="74"/>
      <c r="M26" s="74"/>
      <c r="N26" s="74"/>
      <c r="O26" s="74"/>
      <c r="P26" s="74"/>
      <c r="Q26" s="74"/>
    </row>
    <row r="27" spans="1:17" ht="68.25" customHeight="1" thickBot="1" x14ac:dyDescent="0.3">
      <c r="A27" s="150"/>
      <c r="B27" s="93" t="s">
        <v>53</v>
      </c>
      <c r="C27" s="48" t="s">
        <v>71</v>
      </c>
      <c r="D27" s="78" t="s">
        <v>19</v>
      </c>
      <c r="E27" s="113"/>
      <c r="F27" s="11" t="s">
        <v>62</v>
      </c>
      <c r="G27" s="129"/>
      <c r="H27" s="127" t="s">
        <v>44</v>
      </c>
      <c r="I27" s="128" t="s">
        <v>34</v>
      </c>
      <c r="K27" s="74"/>
      <c r="L27" s="74"/>
      <c r="M27" s="22"/>
      <c r="N27" s="74"/>
      <c r="O27" s="22"/>
      <c r="P27" s="76"/>
      <c r="Q27" s="22"/>
    </row>
    <row r="28" spans="1:17" ht="15" customHeight="1" thickTop="1" x14ac:dyDescent="0.25">
      <c r="A28" s="151">
        <f>A26 -1</f>
        <v>5</v>
      </c>
      <c r="B28" s="141" t="s">
        <v>12</v>
      </c>
      <c r="C28" s="12">
        <f>I26 + 1</f>
        <v>6</v>
      </c>
      <c r="D28" s="41">
        <f>C28+1</f>
        <v>7</v>
      </c>
      <c r="E28" s="13">
        <f t="shared" si="7"/>
        <v>8</v>
      </c>
      <c r="F28" s="41">
        <f>E28 + 1</f>
        <v>9</v>
      </c>
      <c r="G28" s="37">
        <f t="shared" si="7"/>
        <v>10</v>
      </c>
      <c r="H28" s="13">
        <f>G28 + 1</f>
        <v>11</v>
      </c>
      <c r="I28" s="46">
        <f>H28 + 1</f>
        <v>12</v>
      </c>
    </row>
    <row r="29" spans="1:17" ht="55.5" customHeight="1" thickBot="1" x14ac:dyDescent="0.3">
      <c r="A29" s="152"/>
      <c r="B29" s="142"/>
      <c r="C29" s="15"/>
      <c r="D29" s="9" t="s">
        <v>66</v>
      </c>
      <c r="E29" s="39" t="s">
        <v>72</v>
      </c>
      <c r="F29" s="38" t="s">
        <v>47</v>
      </c>
      <c r="G29" s="24"/>
      <c r="H29" s="11" t="s">
        <v>46</v>
      </c>
      <c r="I29" s="25"/>
    </row>
    <row r="30" spans="1:17" ht="15.75" customHeight="1" thickTop="1" x14ac:dyDescent="0.25">
      <c r="A30" s="153">
        <f>A28 -1</f>
        <v>4</v>
      </c>
      <c r="B30" s="142"/>
      <c r="C30" s="47">
        <f>I28 + 1</f>
        <v>13</v>
      </c>
      <c r="D30" s="37">
        <f>C30 + 1</f>
        <v>14</v>
      </c>
      <c r="E30" s="13">
        <f t="shared" ref="E30:I30" si="10">D30 + 1</f>
        <v>15</v>
      </c>
      <c r="F30" s="13">
        <f t="shared" si="10"/>
        <v>16</v>
      </c>
      <c r="G30" s="37">
        <f t="shared" si="10"/>
        <v>17</v>
      </c>
      <c r="H30" s="24">
        <f t="shared" si="10"/>
        <v>18</v>
      </c>
      <c r="I30" s="25">
        <f t="shared" si="10"/>
        <v>19</v>
      </c>
    </row>
    <row r="31" spans="1:17" ht="92.25" customHeight="1" x14ac:dyDescent="0.25">
      <c r="A31" s="147"/>
      <c r="B31" s="142"/>
      <c r="C31" s="26"/>
      <c r="D31" s="72" t="s">
        <v>23</v>
      </c>
      <c r="E31" s="135" t="s">
        <v>69</v>
      </c>
      <c r="F31" s="23" t="s">
        <v>33</v>
      </c>
      <c r="G31" s="24"/>
      <c r="H31" s="55" t="s">
        <v>30</v>
      </c>
      <c r="I31" s="114" t="str">
        <f>H31</f>
        <v>Spring Break</v>
      </c>
    </row>
    <row r="32" spans="1:17" ht="15" customHeight="1" x14ac:dyDescent="0.25">
      <c r="A32" s="147">
        <f>A30 -1</f>
        <v>3</v>
      </c>
      <c r="B32" s="142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1">E32 + 1</f>
        <v>23</v>
      </c>
      <c r="G32" s="24">
        <f t="shared" si="11"/>
        <v>24</v>
      </c>
      <c r="H32" s="24">
        <f t="shared" si="11"/>
        <v>25</v>
      </c>
      <c r="I32" s="25">
        <f t="shared" si="11"/>
        <v>26</v>
      </c>
    </row>
    <row r="33" spans="1:9" ht="52.5" customHeight="1" thickBot="1" x14ac:dyDescent="0.3">
      <c r="A33" s="147"/>
      <c r="B33" s="142"/>
      <c r="C33" s="54" t="str">
        <f>I31</f>
        <v>Spring Break</v>
      </c>
      <c r="D33" s="121" t="str">
        <f>I31</f>
        <v>Spring Break</v>
      </c>
      <c r="E33" s="10"/>
      <c r="F33" s="36" t="s">
        <v>45</v>
      </c>
      <c r="G33" s="116"/>
      <c r="H33" s="36" t="s">
        <v>64</v>
      </c>
      <c r="I33" s="117"/>
    </row>
    <row r="34" spans="1:9" ht="15" customHeight="1" thickTop="1" x14ac:dyDescent="0.25">
      <c r="A34" s="147">
        <f>A32 -1</f>
        <v>2</v>
      </c>
      <c r="B34" s="142" t="s">
        <v>29</v>
      </c>
      <c r="C34" s="26">
        <f>I32 + 1</f>
        <v>27</v>
      </c>
      <c r="D34" s="24">
        <f>C34 + 1</f>
        <v>28</v>
      </c>
      <c r="E34" s="11">
        <f t="shared" ref="E34:I36" si="12">D34 + 1</f>
        <v>29</v>
      </c>
      <c r="F34" s="102">
        <f t="shared" si="12"/>
        <v>30</v>
      </c>
      <c r="G34" s="112">
        <f>IF(F34=30, 1, F34+1)</f>
        <v>1</v>
      </c>
      <c r="H34" s="4">
        <f t="shared" si="12"/>
        <v>2</v>
      </c>
      <c r="I34" s="5">
        <f t="shared" si="12"/>
        <v>3</v>
      </c>
    </row>
    <row r="35" spans="1:9" ht="58.5" customHeight="1" thickBot="1" x14ac:dyDescent="0.3">
      <c r="A35" s="148"/>
      <c r="B35" s="146"/>
      <c r="C35" s="45"/>
      <c r="D35" s="35" t="s">
        <v>20</v>
      </c>
      <c r="E35" s="34"/>
      <c r="F35" s="115" t="s">
        <v>6</v>
      </c>
      <c r="G35" s="118"/>
      <c r="H35" s="6" t="s">
        <v>6</v>
      </c>
      <c r="I35" s="120"/>
    </row>
    <row r="36" spans="1:9" ht="15" customHeight="1" thickTop="1" x14ac:dyDescent="0.25">
      <c r="A36" s="154">
        <f>A34 -1</f>
        <v>1</v>
      </c>
      <c r="B36" s="138" t="s">
        <v>5</v>
      </c>
      <c r="C36" s="112">
        <f>I34 + 1</f>
        <v>4</v>
      </c>
      <c r="D36" s="4">
        <f>C36 + 1</f>
        <v>5</v>
      </c>
      <c r="E36" s="4">
        <f t="shared" si="12"/>
        <v>6</v>
      </c>
      <c r="F36" s="68">
        <f t="shared" si="12"/>
        <v>7</v>
      </c>
      <c r="G36" s="16">
        <f>F36 + 1</f>
        <v>8</v>
      </c>
      <c r="H36" s="16">
        <f>G36 + 1</f>
        <v>9</v>
      </c>
      <c r="I36" s="17">
        <f t="shared" si="12"/>
        <v>10</v>
      </c>
    </row>
    <row r="37" spans="1:9" ht="90" customHeight="1" thickBot="1" x14ac:dyDescent="0.3">
      <c r="A37" s="150"/>
      <c r="B37" s="139"/>
      <c r="C37" s="73"/>
      <c r="D37" s="6" t="s">
        <v>6</v>
      </c>
      <c r="E37" s="119"/>
      <c r="F37" s="69" t="s">
        <v>26</v>
      </c>
      <c r="G37" s="6"/>
      <c r="H37" s="6" t="s">
        <v>50</v>
      </c>
      <c r="I37" s="128" t="s">
        <v>48</v>
      </c>
    </row>
    <row r="38" spans="1:9" ht="15.75" customHeight="1" thickTop="1" x14ac:dyDescent="0.25">
      <c r="A38" s="155" t="s">
        <v>24</v>
      </c>
      <c r="B38" s="139"/>
      <c r="C38" s="18">
        <f>I36 + 1</f>
        <v>11</v>
      </c>
      <c r="D38" s="16">
        <f t="shared" ref="D38:I38" si="13">C38 + 1</f>
        <v>12</v>
      </c>
      <c r="E38" s="44">
        <f t="shared" si="13"/>
        <v>13</v>
      </c>
      <c r="F38" s="16">
        <f t="shared" si="13"/>
        <v>14</v>
      </c>
      <c r="G38" s="16">
        <f t="shared" si="13"/>
        <v>15</v>
      </c>
      <c r="H38" s="57">
        <f t="shared" si="13"/>
        <v>16</v>
      </c>
      <c r="I38" s="58">
        <f t="shared" si="13"/>
        <v>17</v>
      </c>
    </row>
    <row r="39" spans="1:9" ht="103.9" customHeight="1" thickBot="1" x14ac:dyDescent="0.3">
      <c r="A39" s="156"/>
      <c r="B39" s="140"/>
      <c r="C39" s="91"/>
      <c r="D39" s="20" t="s">
        <v>51</v>
      </c>
      <c r="E39" s="49"/>
      <c r="F39" s="20" t="s">
        <v>52</v>
      </c>
      <c r="G39" s="82" t="s">
        <v>49</v>
      </c>
      <c r="H39" s="59"/>
      <c r="I39" s="60"/>
    </row>
    <row r="40" spans="1:9" ht="15.75" thickTop="1" x14ac:dyDescent="0.25"/>
  </sheetData>
  <mergeCells count="22">
    <mergeCell ref="A34:A35"/>
    <mergeCell ref="A36:A37"/>
    <mergeCell ref="A38:A39"/>
    <mergeCell ref="B34:B35"/>
    <mergeCell ref="B36:B39"/>
    <mergeCell ref="A1:I1"/>
    <mergeCell ref="A3:A4"/>
    <mergeCell ref="A5:A6"/>
    <mergeCell ref="A7:A8"/>
    <mergeCell ref="A9:A10"/>
    <mergeCell ref="B3:B4"/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2025-02-11T15:39:55Z</cp:lastPrinted>
  <dcterms:created xsi:type="dcterms:W3CDTF">2016-12-30T22:56:49Z</dcterms:created>
  <dcterms:modified xsi:type="dcterms:W3CDTF">2025-02-26T16:02:43Z</dcterms:modified>
</cp:coreProperties>
</file>